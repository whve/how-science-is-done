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5720" windowHeight="6864" activeTab="1"/>
  </bookViews>
  <sheets>
    <sheet name="学员成绩表" sheetId="1" r:id="rId1"/>
    <sheet name="Sheet1" sheetId="2" r:id="rId2"/>
  </sheets>
  <definedNames>
    <definedName name="学号">学员成绩表!$A$3:$A$13</definedName>
  </definedNames>
  <calcPr calcId="144525"/>
</workbook>
</file>

<file path=xl/sharedStrings.xml><?xml version="1.0" encoding="utf-8"?>
<sst xmlns="http://schemas.openxmlformats.org/spreadsheetml/2006/main" count="35">
  <si>
    <t>VLOOKUP查找数据</t>
  </si>
  <si>
    <t>学号</t>
  </si>
  <si>
    <t>姓名</t>
  </si>
  <si>
    <t>语文</t>
  </si>
  <si>
    <t>数学</t>
  </si>
  <si>
    <t>英语</t>
  </si>
  <si>
    <t>1001</t>
  </si>
  <si>
    <t>刘世文</t>
  </si>
  <si>
    <t>1002</t>
  </si>
  <si>
    <t>吴振浩</t>
  </si>
  <si>
    <t>1003</t>
  </si>
  <si>
    <t>李嘉轩</t>
  </si>
  <si>
    <t>1004</t>
  </si>
  <si>
    <t>林乐华</t>
  </si>
  <si>
    <t>1005</t>
  </si>
  <si>
    <t>刘颖文</t>
  </si>
  <si>
    <t>2001</t>
  </si>
  <si>
    <t>黄明勇</t>
  </si>
  <si>
    <t>👆</t>
  </si>
  <si>
    <t>2002</t>
  </si>
  <si>
    <t>王嘉宁</t>
  </si>
  <si>
    <t>物理</t>
  </si>
  <si>
    <t>化学</t>
  </si>
  <si>
    <t>2003</t>
  </si>
  <si>
    <t>张家峰</t>
  </si>
  <si>
    <t>2004</t>
  </si>
  <si>
    <t>张耀阳</t>
  </si>
  <si>
    <t>+</t>
  </si>
  <si>
    <t>=</t>
  </si>
  <si>
    <t>?</t>
  </si>
  <si>
    <t>2005</t>
  </si>
  <si>
    <t>张志豪</t>
  </si>
  <si>
    <t>2006</t>
  </si>
  <si>
    <t>杜宝贞</t>
  </si>
  <si>
    <t>VLOOKUP（要查找的值、要在其中查找值的区域[包含查找值]、区域中包含返回值的列号、精确匹配或近似匹配 – 指定为 0/FALSE 或 1/TRUE）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</si>
</sst>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0">
    <font>
      <sz val="12"/>
      <name val="宋体"/>
      <charset val="134"/>
    </font>
    <font>
      <b/>
      <sz val="9"/>
      <color indexed="9"/>
      <name val="微软雅黑"/>
      <charset val="134"/>
    </font>
    <font>
      <sz val="9"/>
      <color theme="1"/>
      <name val="微软雅黑"/>
      <charset val="134"/>
    </font>
    <font>
      <sz val="12"/>
      <color theme="1"/>
      <name val="宋体"/>
      <charset val="134"/>
    </font>
    <font>
      <sz val="9"/>
      <name val="微软雅黑"/>
      <charset val="134"/>
    </font>
    <font>
      <sz val="12"/>
      <name val="微软雅黑"/>
      <charset val="134"/>
    </font>
    <font>
      <b/>
      <sz val="16"/>
      <name val="微软雅黑"/>
      <charset val="134"/>
    </font>
    <font>
      <b/>
      <u/>
      <sz val="9"/>
      <color indexed="9"/>
      <name val="微软雅黑"/>
      <charset val="134"/>
    </font>
    <font>
      <b/>
      <sz val="9"/>
      <color theme="1"/>
      <name val="微软雅黑"/>
      <charset val="134"/>
    </font>
    <font>
      <b/>
      <sz val="9"/>
      <name val="微软雅黑"/>
      <charset val="134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00"/>
        <bgColor theme="7" tint="0.799981688894314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theme="8" tint="-0.249977111117893"/>
        <bgColor theme="7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7" fillId="11" borderId="10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10" borderId="7" applyNumberFormat="0" applyFon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0" fillId="9" borderId="6" applyNumberFormat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23" fillId="21" borderId="12" applyNumberFormat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>
      <alignment vertical="center"/>
    </xf>
    <xf numFmtId="0" fontId="3" fillId="5" borderId="1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colors>
    <mruColors>
      <color rgb="0000FF00"/>
    </mruColors>
  </colors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525780</xdr:colOff>
          <xdr:row>0</xdr:row>
          <xdr:rowOff>312420</xdr:rowOff>
        </xdr:from>
        <xdr:to>
          <xdr:col>14</xdr:col>
          <xdr:colOff>574408</xdr:colOff>
          <xdr:row>4</xdr:row>
          <xdr:rowOff>171450</xdr:rowOff>
        </xdr:to>
        <xdr:pic>
          <xdr:nvPicPr>
            <xdr:cNvPr id="3" name="图片 2"/>
            <xdr:cNvPicPr>
              <a:picLocks noChangeAspect="1" noChangeArrowheads="1"/>
              <a:extLst>
                <a:ext uri="{84589F7E-364E-4C9E-8A38-B11213B215E9}">
                  <a14:cameraTool cellRange="Sheet1!$A$1:$H$5" spid="_x0000_s3095"/>
                </a:ext>
              </a:extLst>
            </xdr:cNvPicPr>
          </xdr:nvPicPr>
          <xdr:blipFill>
            <a:blip r:embed="rId1"/>
            <a:srcRect/>
            <a:stretch>
              <a:fillRect/>
            </a:stretch>
          </xdr:blipFill>
          <xdr:spPr>
            <a:xfrm>
              <a:off x="3688080" y="312420"/>
              <a:ext cx="5412740" cy="100584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15"/>
  <sheetViews>
    <sheetView showGridLines="0" workbookViewId="0">
      <selection activeCell="G16" sqref="G16"/>
    </sheetView>
  </sheetViews>
  <sheetFormatPr defaultColWidth="9" defaultRowHeight="17.4"/>
  <cols>
    <col min="1" max="5" width="6.5" style="10" customWidth="1"/>
    <col min="6" max="6" width="9" style="10"/>
    <col min="7" max="16384" width="8.8" style="11"/>
  </cols>
  <sheetData>
    <row r="1" ht="36.75" customHeight="1" spans="1:5">
      <c r="A1" s="12" t="s">
        <v>0</v>
      </c>
      <c r="B1" s="12"/>
      <c r="C1" s="12"/>
      <c r="D1" s="12"/>
      <c r="E1" s="12"/>
    </row>
    <row r="2" ht="18.75" customHeight="1" spans="1:5">
      <c r="A2" s="13" t="s">
        <v>1</v>
      </c>
      <c r="B2" s="14" t="s">
        <v>2</v>
      </c>
      <c r="C2" s="15" t="s">
        <v>3</v>
      </c>
      <c r="D2" s="15" t="s">
        <v>4</v>
      </c>
      <c r="E2" s="15" t="s">
        <v>5</v>
      </c>
    </row>
    <row r="3" spans="1:5">
      <c r="A3" s="16" t="s">
        <v>6</v>
      </c>
      <c r="B3" s="17" t="s">
        <v>7</v>
      </c>
      <c r="C3" s="17">
        <v>70</v>
      </c>
      <c r="D3" s="17">
        <v>90</v>
      </c>
      <c r="E3" s="17">
        <v>51</v>
      </c>
    </row>
    <row r="4" spans="1:5">
      <c r="A4" s="18" t="s">
        <v>8</v>
      </c>
      <c r="B4" s="19" t="s">
        <v>9</v>
      </c>
      <c r="C4" s="19">
        <v>99</v>
      </c>
      <c r="D4" s="19">
        <v>59</v>
      </c>
      <c r="E4" s="19">
        <v>63</v>
      </c>
    </row>
    <row r="5" spans="1:5">
      <c r="A5" s="16" t="s">
        <v>10</v>
      </c>
      <c r="B5" s="17" t="s">
        <v>11</v>
      </c>
      <c r="C5" s="17">
        <v>89</v>
      </c>
      <c r="D5" s="17">
        <v>128</v>
      </c>
      <c r="E5" s="17">
        <v>74</v>
      </c>
    </row>
    <row r="6" spans="1:5">
      <c r="A6" s="20" t="s">
        <v>12</v>
      </c>
      <c r="B6" s="21" t="s">
        <v>13</v>
      </c>
      <c r="C6" s="19">
        <v>11</v>
      </c>
      <c r="D6" s="19">
        <v>12</v>
      </c>
      <c r="E6" s="19">
        <v>13</v>
      </c>
    </row>
    <row r="7" spans="1:5">
      <c r="A7" s="16" t="s">
        <v>14</v>
      </c>
      <c r="B7" s="17" t="s">
        <v>15</v>
      </c>
      <c r="C7" s="17">
        <v>106</v>
      </c>
      <c r="D7" s="17"/>
      <c r="E7" s="17">
        <v>80</v>
      </c>
    </row>
    <row r="8" spans="1:11">
      <c r="A8" s="18" t="s">
        <v>16</v>
      </c>
      <c r="B8" s="19" t="s">
        <v>17</v>
      </c>
      <c r="C8" s="19">
        <v>108</v>
      </c>
      <c r="D8" s="19">
        <v>124</v>
      </c>
      <c r="E8" s="19">
        <v>90</v>
      </c>
      <c r="K8" s="11" t="s">
        <v>18</v>
      </c>
    </row>
    <row r="9" spans="1:9">
      <c r="A9" s="16" t="s">
        <v>19</v>
      </c>
      <c r="B9" s="17" t="s">
        <v>20</v>
      </c>
      <c r="C9" s="17">
        <v>112</v>
      </c>
      <c r="D9" s="17">
        <v>100</v>
      </c>
      <c r="E9" s="17">
        <v>70</v>
      </c>
      <c r="G9" s="1" t="s">
        <v>1</v>
      </c>
      <c r="H9" s="1" t="s">
        <v>21</v>
      </c>
      <c r="I9" s="1" t="s">
        <v>22</v>
      </c>
    </row>
    <row r="10" spans="1:9">
      <c r="A10" s="18" t="s">
        <v>23</v>
      </c>
      <c r="B10" s="19" t="s">
        <v>24</v>
      </c>
      <c r="C10" s="19">
        <v>78</v>
      </c>
      <c r="D10" s="19">
        <v>111</v>
      </c>
      <c r="E10" s="19">
        <v>84</v>
      </c>
      <c r="G10" s="2" t="s">
        <v>12</v>
      </c>
      <c r="H10" s="4">
        <v>70</v>
      </c>
      <c r="I10" s="4">
        <v>80</v>
      </c>
    </row>
    <row r="11" spans="1:11">
      <c r="A11" s="20" t="s">
        <v>25</v>
      </c>
      <c r="B11" s="22" t="s">
        <v>26</v>
      </c>
      <c r="C11" s="17">
        <v>22</v>
      </c>
      <c r="D11" s="17">
        <v>23</v>
      </c>
      <c r="E11" s="17">
        <v>24</v>
      </c>
      <c r="F11" s="10" t="s">
        <v>27</v>
      </c>
      <c r="G11" s="5" t="s">
        <v>25</v>
      </c>
      <c r="H11" s="6">
        <v>60</v>
      </c>
      <c r="I11" s="6">
        <v>90</v>
      </c>
      <c r="J11" s="11" t="s">
        <v>28</v>
      </c>
      <c r="K11" s="11" t="s">
        <v>29</v>
      </c>
    </row>
    <row r="12" spans="1:9">
      <c r="A12" s="18" t="s">
        <v>30</v>
      </c>
      <c r="B12" s="19" t="s">
        <v>31</v>
      </c>
      <c r="C12" s="19">
        <v>119</v>
      </c>
      <c r="D12" s="19">
        <v>114</v>
      </c>
      <c r="E12" s="19">
        <v>92</v>
      </c>
      <c r="G12" s="5" t="s">
        <v>32</v>
      </c>
      <c r="H12" s="8">
        <v>80</v>
      </c>
      <c r="I12" s="8">
        <v>78</v>
      </c>
    </row>
    <row r="13" spans="1:5">
      <c r="A13" s="23" t="s">
        <v>32</v>
      </c>
      <c r="B13" s="24" t="s">
        <v>33</v>
      </c>
      <c r="C13" s="25">
        <v>33</v>
      </c>
      <c r="D13" s="25">
        <v>34</v>
      </c>
      <c r="E13" s="25">
        <v>35</v>
      </c>
    </row>
    <row r="14" spans="1:5">
      <c r="A14" s="26"/>
      <c r="B14" s="27"/>
      <c r="C14" s="27"/>
      <c r="D14" s="27"/>
      <c r="E14" s="27"/>
    </row>
    <row r="15" spans="2:2">
      <c r="B15" s="28"/>
    </row>
  </sheetData>
  <mergeCells count="1">
    <mergeCell ref="A1:E1"/>
  </mergeCells>
  <dataValidations count="1">
    <dataValidation type="list" allowBlank="1" showInputMessage="1" showErrorMessage="1" sqref="G10">
      <formula1>学号</formula1>
    </dataValidation>
  </dataValidations>
  <pageMargins left="0.75" right="0.75" top="1" bottom="1" header="0.5" footer="0.5"/>
  <pageSetup paperSize="9" orientation="portrait" horizontalDpi="300" verticalDpi="300"/>
  <headerFooter alignWithMargin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4"/>
  <sheetViews>
    <sheetView tabSelected="1" workbookViewId="0">
      <selection activeCell="B2" sqref="B2"/>
    </sheetView>
  </sheetViews>
  <sheetFormatPr defaultColWidth="9" defaultRowHeight="15.6" outlineLevelRow="3"/>
  <sheetData>
    <row r="1" spans="1: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21</v>
      </c>
      <c r="G1" s="1" t="s">
        <v>22</v>
      </c>
      <c r="H1" s="1"/>
    </row>
    <row r="2" spans="1:9">
      <c r="A2" s="2" t="s">
        <v>12</v>
      </c>
      <c r="B2" s="3" t="str">
        <f>VLOOKUP($A2,学员成绩表!$A:$E,COLUMN(B$2),0)</f>
        <v>林乐华</v>
      </c>
      <c r="C2" s="3">
        <f>VLOOKUP($A2,学员成绩表!$A:$E,COLUMN(C$2),0)</f>
        <v>11</v>
      </c>
      <c r="D2" s="3">
        <f>VLOOKUP($A2,学员成绩表!$A:$E,COLUMN(D$2),0)</f>
        <v>12</v>
      </c>
      <c r="E2" s="3">
        <f>VLOOKUP($A2,学员成绩表!$A:$E,COLUMN(E$2),0)</f>
        <v>13</v>
      </c>
      <c r="F2" s="4">
        <v>70</v>
      </c>
      <c r="G2" s="4">
        <v>80</v>
      </c>
      <c r="H2" s="4"/>
      <c r="I2" t="s">
        <v>34</v>
      </c>
    </row>
    <row r="3" spans="1:8">
      <c r="A3" s="5" t="s">
        <v>25</v>
      </c>
      <c r="B3" s="3" t="str">
        <f>VLOOKUP($A3,学员成绩表!$A:$E,COLUMN(B$2),0)</f>
        <v>张耀阳</v>
      </c>
      <c r="C3" s="3">
        <f>VLOOKUP($A3,学员成绩表!$A:$E,COLUMN(C$2),0)</f>
        <v>22</v>
      </c>
      <c r="D3" s="3">
        <f>VLOOKUP($A3,学员成绩表!$A:$E,COLUMN(D$2),0)</f>
        <v>23</v>
      </c>
      <c r="E3" s="3">
        <f>VLOOKUP($A3,学员成绩表!$A:$E,COLUMN(E$2),0)</f>
        <v>24</v>
      </c>
      <c r="F3" s="6">
        <v>60</v>
      </c>
      <c r="G3" s="6">
        <v>90</v>
      </c>
      <c r="H3" s="7"/>
    </row>
    <row r="4" spans="1:8">
      <c r="A4" s="5" t="s">
        <v>32</v>
      </c>
      <c r="B4" s="3" t="str">
        <f>VLOOKUP($A4,学员成绩表!$A:$E,COLUMN(B$2),0)</f>
        <v>杜宝贞</v>
      </c>
      <c r="C4" s="3">
        <f>VLOOKUP($A4,学员成绩表!$A:$E,COLUMN(C$2),0)</f>
        <v>33</v>
      </c>
      <c r="D4" s="3">
        <f>VLOOKUP($A4,学员成绩表!$A:$E,COLUMN(D$2),0)</f>
        <v>34</v>
      </c>
      <c r="E4" s="3">
        <f>VLOOKUP($A4,学员成绩表!$A:$E,COLUMN(E$2),0)</f>
        <v>35</v>
      </c>
      <c r="F4" s="8">
        <v>80</v>
      </c>
      <c r="G4" s="8">
        <v>78</v>
      </c>
      <c r="H4" s="9"/>
    </row>
  </sheetData>
  <dataValidations count="1">
    <dataValidation type="list" allowBlank="1" showInputMessage="1" showErrorMessage="1" sqref="A2">
      <formula1>学号</formula1>
    </dataValidation>
  </dataValidation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Excel Home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学员成绩表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17.4 统计各科成绩大于等于平均分的总平均分.</dc:title>
  <dc:creator>Excel Home</dc:creator>
  <dc:description>《Excel 2010应用大全》示例</dc:description>
  <cp:lastModifiedBy>EXCEL880.com</cp:lastModifiedBy>
  <dcterms:created xsi:type="dcterms:W3CDTF">2007-05-15T12:36:00Z</dcterms:created>
  <dcterms:modified xsi:type="dcterms:W3CDTF">2018-05-10T02:12:13Z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